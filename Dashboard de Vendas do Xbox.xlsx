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e711d1132bef891/Desktop/Projetos/Cursos/"/>
    </mc:Choice>
  </mc:AlternateContent>
  <xr:revisionPtr revIDLastSave="7" documentId="13_ncr:1_{3C2F8ED6-40B2-4E08-832A-7140AC03FA60}" xr6:coauthVersionLast="47" xr6:coauthVersionMax="47" xr10:uidLastSave="{345027EC-87E8-4986-940F-E93EA66BEFF2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3" l="1"/>
  <c r="E24" i="3"/>
  <c r="E35" i="3"/>
</calcChain>
</file>

<file path=xl/sharedStrings.xml><?xml version="1.0" encoding="utf-8"?>
<sst xmlns="http://schemas.openxmlformats.org/spreadsheetml/2006/main" count="2023" uniqueCount="326">
  <si>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</si>
  <si>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</si>
  <si>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</si>
  <si>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</si>
  <si>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</si>
  <si>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</si>
  <si>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</si>
  <si>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</si>
  <si>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</si>
  <si>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</si>
  <si>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</si>
  <si>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</si>
  <si>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</si>
  <si>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</si>
  <si>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</si>
  <si>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</si>
  <si>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</si>
  <si>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</si>
  <si>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</si>
  <si>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</si>
  <si>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</si>
  <si>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</si>
  <si>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</si>
  <si>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</si>
  <si>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</si>
  <si>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</si>
  <si>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</si>
  <si>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</si>
  <si>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</si>
  <si>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</si>
  <si>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</si>
  <si>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</si>
  <si>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</si>
  <si>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</si>
  <si>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</si>
  <si>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</si>
  <si>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</si>
  <si>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</si>
  <si>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</si>
  <si>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</si>
  <si>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</si>
  <si>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</si>
  <si>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</si>
  <si>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</si>
  <si>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</si>
  <si>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</si>
  <si>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</si>
  <si>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</si>
  <si>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</si>
  <si>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</si>
  <si>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</si>
  <si>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</si>
  <si>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</si>
  <si>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</si>
  <si>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</si>
  <si>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</si>
  <si>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</si>
  <si>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</si>
  <si>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</si>
  <si>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</si>
  <si>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</si>
  <si>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</si>
  <si>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</si>
  <si>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</si>
  <si>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</si>
  <si>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</si>
  <si>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</si>
  <si>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</si>
  <si>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</si>
  <si>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</si>
  <si>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</si>
  <si>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</si>
  <si>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</si>
  <si>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</si>
  <si>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</si>
  <si>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</si>
  <si>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</si>
  <si>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</si>
  <si>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</si>
  <si>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</si>
  <si>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</si>
  <si>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</si>
  <si>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</si>
  <si>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</si>
  <si>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</si>
  <si>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</si>
  <si>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</si>
  <si>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</si>
  <si>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</si>
  <si>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</si>
  <si>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</si>
  <si>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</si>
  <si>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</si>
  <si>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</si>
  <si>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</si>
  <si>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</si>
  <si>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</si>
  <si>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</si>
  <si>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</si>
  <si>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</si>
  <si>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</si>
  <si>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</si>
  <si>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</si>
  <si>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</si>
  <si>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</si>
  <si>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</si>
  <si>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</si>
  <si>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</si>
  <si>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</si>
  <si>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</si>
  <si>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</si>
  <si>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</si>
  <si>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</si>
  <si>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</si>
  <si>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</si>
  <si>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</si>
  <si>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</si>
  <si>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</si>
  <si>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</si>
  <si>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</si>
  <si>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</si>
  <si>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</si>
  <si>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</si>
  <si>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</si>
  <si>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</si>
  <si>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</si>
  <si>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</si>
  <si>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</si>
  <si>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</si>
  <si>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</si>
  <si>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</si>
  <si>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</si>
  <si>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</si>
  <si>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</si>
  <si>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</si>
  <si>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</si>
  <si>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</si>
  <si>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</si>
  <si>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</si>
  <si>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</si>
  <si>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</si>
  <si>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</si>
  <si>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</si>
  <si>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</si>
  <si>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</si>
  <si>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</si>
  <si>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</si>
  <si>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</si>
  <si>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</si>
  <si>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</si>
  <si>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</si>
  <si>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</si>
  <si>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</si>
  <si>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</si>
  <si>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</si>
  <si>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</si>
  <si>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</si>
  <si>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</si>
  <si>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</si>
  <si>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</si>
  <si>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</si>
  <si>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</si>
  <si>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</si>
  <si>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</si>
  <si>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</si>
  <si>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</si>
  <si>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</si>
  <si>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</si>
  <si>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</si>
  <si>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</si>
  <si>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</si>
  <si>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</si>
  <si>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</si>
  <si>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</si>
  <si>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</si>
  <si>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</si>
  <si>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</si>
  <si>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</si>
  <si>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</si>
  <si>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</si>
  <si>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</si>
  <si>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</si>
  <si>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</si>
  <si>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</si>
  <si>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</si>
  <si>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</si>
  <si>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</si>
  <si>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</si>
  <si>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</si>
  <si>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</si>
  <si>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</si>
  <si>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</si>
  <si>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</si>
  <si>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</si>
  <si>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</si>
  <si>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</si>
  <si>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</si>
  <si>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</si>
  <si>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</si>
  <si>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</si>
  <si>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</si>
  <si>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</si>
  <si>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</si>
  <si>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</si>
  <si>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</si>
  <si>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</si>
  <si>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</si>
  <si>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</si>
  <si>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</si>
  <si>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</si>
  <si>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</si>
  <si>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</si>
  <si>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</si>
  <si>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</si>
  <si>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</si>
  <si>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</si>
  <si>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</si>
  <si>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</si>
  <si>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</si>
  <si>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</si>
  <si>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</si>
  <si>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</si>
  <si>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</si>
  <si>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</si>
  <si>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</si>
  <si>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</si>
  <si>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</si>
  <si>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</si>
  <si>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</si>
  <si>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</si>
  <si>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</si>
  <si>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</si>
  <si>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</si>
  <si>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</si>
  <si>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</si>
  <si>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</si>
  <si>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</si>
  <si>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</si>
  <si>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</si>
  <si>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</si>
  <si>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</si>
  <si>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</si>
  <si>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</si>
  <si>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</si>
  <si>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</si>
  <si>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</si>
  <si>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</si>
  <si>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</si>
  <si>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</si>
  <si>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</si>
  <si>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</si>
  <si>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</si>
  <si>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</si>
  <si>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</si>
  <si>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</si>
  <si>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</si>
  <si>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</si>
  <si>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</si>
  <si>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</si>
  <si>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</si>
  <si>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</si>
  <si>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</si>
  <si>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</si>
  <si>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</si>
  <si>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</si>
  <si>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</si>
  <si>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</si>
  <si>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</si>
  <si>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</si>
  <si>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</si>
  <si>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</si>
  <si>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</si>
  <si>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</si>
  <si>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</si>
  <si>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</si>
  <si>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</si>
  <si>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</si>
  <si>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</si>
  <si>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</si>
  <si>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</si>
  <si>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</si>
  <si>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</si>
  <si>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</si>
  <si>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</si>
  <si>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</si>
  <si>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</si>
  <si>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</si>
  <si>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</si>
  <si>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</si>
  <si>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</si>
  <si>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</si>
  <si>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</si>
  <si>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</si>
  <si>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</si>
  <si>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</si>
  <si>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</si>
  <si>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</si>
  <si>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</si>
  <si>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</si>
  <si>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</si>
  <si>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</si>
  <si>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</si>
  <si>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</si>
  <si>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</si>
  <si>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</si>
  <si>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</si>
  <si>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</si>
  <si>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</si>
  <si>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</si>
  <si>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</si>
  <si>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</si>
  <si>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</si>
  <si>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</si>
  <si>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</si>
  <si>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</si>
  <si>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</si>
  <si>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</si>
  <si>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Total Geral</t>
  </si>
  <si>
    <t>(Tudo)</t>
  </si>
  <si>
    <t>Soma de Total Value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</si>
  <si>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</si>
  <si>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</si>
  <si>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</si>
  <si>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</si>
  <si>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Mín. de Start Date</t>
  </si>
  <si>
    <t>Máx. de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</si>
</sst>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rgb="FFE8E6E9"/>
      </left>
      <right/>
      <top/>
      <bottom/>
      <diagonal/>
    </border>
    <border>
      <left style="thick">
        <color theme="0"/>
      </left>
      <right/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7" borderId="2" xfId="0" applyFill="1" applyBorder="1"/>
    <xf numFmtId="0" fontId="0" fillId="0" borderId="3" xfId="0" applyBorder="1"/>
    <xf numFmtId="0" fontId="4" fillId="0" borderId="0" xfId="3" applyFill="1" applyAlignment="1"/>
    <xf numFmtId="0" fontId="5" fillId="0" borderId="0" xfId="3" applyFont="1" applyFill="1" applyAlignme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2" applyFont="1"/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2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Dark6 2" pivot="0" table="0" count="10" xr9:uid="{E4B9BEB6-085A-446B-901A-E8735D94CE16}">
      <tableStyleElement type="wholeTable" dxfId="27"/>
      <tableStyleElement type="headerRow" dxfId="26"/>
    </tableStyle>
    <tableStyle name="SlicerStyleLight6 2" pivot="0" table="0" count="10" xr9:uid="{54AA8FD6-6359-4B73-9E55-5273CECBDC61}">
      <tableStyleElement type="wholeTable" dxfId="25"/>
      <tableStyleElement type="headerRow" dxfId="24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Xbox.xlsx]C̳álculos!Tabela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416342957130363E-2"/>
          <c:y val="5.0925925925925923E-2"/>
          <c:w val="0.82461545248020462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8-45C8-BA6D-E854788F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6341664"/>
        <c:axId val="706329184"/>
      </c:barChart>
      <c:catAx>
        <c:axId val="70634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706329184"/>
        <c:crosses val="autoZero"/>
        <c:auto val="1"/>
        <c:lblAlgn val="ctr"/>
        <c:lblOffset val="100"/>
        <c:noMultiLvlLbl val="0"/>
      </c:catAx>
      <c:valAx>
        <c:axId val="70632918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0634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10.svg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6" Type="http://schemas.openxmlformats.org/officeDocument/2006/relationships/image" Target="../media/image9.png"/><Relationship Id="rId5" Type="http://schemas.openxmlformats.org/officeDocument/2006/relationships/image" Target="../media/image11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</xdr:col>
      <xdr:colOff>190500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21</xdr:row>
      <xdr:rowOff>0</xdr:rowOff>
    </xdr:from>
    <xdr:ext cx="304800" cy="304800"/>
    <xdr:sp macro="" textlink="">
      <xdr:nvSpPr>
        <xdr:cNvPr id="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4F63F1C1-5D10-48CC-BDAB-9F2F0A00778F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304800" cy="304800"/>
    <xdr:sp macro="" textlink="">
      <xdr:nvSpPr>
        <xdr:cNvPr id="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8E7AE02-9C5A-44A0-973F-F287B5019C34}"/>
            </a:ext>
          </a:extLst>
        </xdr:cNvPr>
        <xdr:cNvSpPr>
          <a:spLocks noChangeAspect="1" noChangeArrowheads="1"/>
        </xdr:cNvSpPr>
      </xdr:nvSpPr>
      <xdr:spPr bwMode="auto">
        <a:xfrm>
          <a:off x="1143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304800" cy="304800"/>
    <xdr:sp macro="" textlink="">
      <xdr:nvSpPr>
        <xdr:cNvPr id="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B671288-F65C-4710-995E-01EAE8E9DFCC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04800"/>
    <xdr:sp macro="" textlink="">
      <xdr:nvSpPr>
        <xdr:cNvPr id="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E4BA8A9-17E9-419D-9841-805F912E6D54}"/>
            </a:ext>
          </a:extLst>
        </xdr:cNvPr>
        <xdr:cNvSpPr>
          <a:spLocks noChangeAspect="1" noChangeArrowheads="1"/>
        </xdr:cNvSpPr>
      </xdr:nvSpPr>
      <xdr:spPr bwMode="auto">
        <a:xfrm>
          <a:off x="1143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304800" cy="304800"/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D3633381-8BC0-4009-8EE1-47FA7F73793C}"/>
            </a:ext>
          </a:extLst>
        </xdr:cNvPr>
        <xdr:cNvSpPr>
          <a:spLocks noChangeAspect="1" noChangeArrowheads="1"/>
        </xdr:cNvSpPr>
      </xdr:nvSpPr>
      <xdr:spPr bwMode="auto">
        <a:xfrm>
          <a:off x="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304800" cy="304800"/>
    <xdr:sp macro="" textlink="">
      <xdr:nvSpPr>
        <xdr:cNvPr id="7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6FE335A-1A2E-458B-BD1C-CE9A7822F4A4}"/>
            </a:ext>
          </a:extLst>
        </xdr:cNvPr>
        <xdr:cNvSpPr>
          <a:spLocks noChangeAspect="1" noChangeArrowheads="1"/>
        </xdr:cNvSpPr>
      </xdr:nvSpPr>
      <xdr:spPr bwMode="auto">
        <a:xfrm>
          <a:off x="1143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154781</xdr:rowOff>
    </xdr:from>
    <xdr:to>
      <xdr:col>3</xdr:col>
      <xdr:colOff>428625</xdr:colOff>
      <xdr:row>6</xdr:row>
      <xdr:rowOff>166687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D370FD16-213B-1FE8-50B6-9AF58C71182C}"/>
            </a:ext>
          </a:extLst>
        </xdr:cNvPr>
        <xdr:cNvGrpSpPr/>
      </xdr:nvGrpSpPr>
      <xdr:grpSpPr>
        <a:xfrm>
          <a:off x="161925" y="154781"/>
          <a:ext cx="1600200" cy="1154906"/>
          <a:chOff x="95250" y="3571875"/>
          <a:chExt cx="1595437" cy="1154906"/>
        </a:xfrm>
      </xdr:grpSpPr>
      <xdr:sp macro="" textlink="">
        <xdr:nvSpPr>
          <xdr:cNvPr id="2" name="Elipse 1">
            <a:extLst>
              <a:ext uri="{FF2B5EF4-FFF2-40B4-BE49-F238E27FC236}">
                <a16:creationId xmlns:a16="http://schemas.microsoft.com/office/drawing/2014/main" id="{EE1DBC0F-D421-4812-B3DB-4A0539E63E7D}"/>
              </a:ext>
            </a:extLst>
          </xdr:cNvPr>
          <xdr:cNvSpPr/>
        </xdr:nvSpPr>
        <xdr:spPr>
          <a:xfrm>
            <a:off x="545306" y="3571875"/>
            <a:ext cx="695325" cy="695325"/>
          </a:xfrm>
          <a:prstGeom prst="ellipse">
            <a:avLst/>
          </a:prstGeom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170AA2BF-CE5D-6095-6F6A-48395A8ABB73}"/>
              </a:ext>
            </a:extLst>
          </xdr:cNvPr>
          <xdr:cNvSpPr txBox="1"/>
        </xdr:nvSpPr>
        <xdr:spPr>
          <a:xfrm>
            <a:off x="95250" y="4369593"/>
            <a:ext cx="1595437" cy="3571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Seja bem vindo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Alex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4</xdr:col>
      <xdr:colOff>226219</xdr:colOff>
      <xdr:row>0</xdr:row>
      <xdr:rowOff>178594</xdr:rowOff>
    </xdr:from>
    <xdr:to>
      <xdr:col>17</xdr:col>
      <xdr:colOff>209550</xdr:colOff>
      <xdr:row>4</xdr:row>
      <xdr:rowOff>23813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84A36D03-CF78-D325-EC2B-FFE1E67C484C}"/>
            </a:ext>
          </a:extLst>
        </xdr:cNvPr>
        <xdr:cNvGrpSpPr/>
      </xdr:nvGrpSpPr>
      <xdr:grpSpPr>
        <a:xfrm>
          <a:off x="2169319" y="178594"/>
          <a:ext cx="7736681" cy="607219"/>
          <a:chOff x="2166938" y="3607594"/>
          <a:chExt cx="7825993" cy="607219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2493BEAB-F5E9-456D-8D9C-EFD346EF978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426" t="19801" r="72359" b="20798"/>
          <a:stretch>
            <a:fillRect/>
          </a:stretch>
        </xdr:blipFill>
        <xdr:spPr>
          <a:xfrm>
            <a:off x="2166938" y="3607594"/>
            <a:ext cx="583406" cy="607219"/>
          </a:xfrm>
          <a:prstGeom prst="rect">
            <a:avLst/>
          </a:prstGeom>
        </xdr:spPr>
      </xdr:pic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3FA5B10E-2BEA-3B00-91CD-AAA3EDE7A014}"/>
              </a:ext>
            </a:extLst>
          </xdr:cNvPr>
          <xdr:cNvSpPr txBox="1"/>
        </xdr:nvSpPr>
        <xdr:spPr>
          <a:xfrm>
            <a:off x="3012281" y="3655219"/>
            <a:ext cx="6980650" cy="511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2000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Xbox Game Pass Subscriptions</a:t>
            </a:r>
            <a:r>
              <a:rPr lang="pt-BR" sz="2000" baseline="0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</a:t>
            </a:r>
            <a:endParaRPr lang="pt-BR" sz="200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219075</xdr:colOff>
      <xdr:row>34</xdr:row>
      <xdr:rowOff>85725</xdr:rowOff>
    </xdr:from>
    <xdr:to>
      <xdr:col>17</xdr:col>
      <xdr:colOff>257175</xdr:colOff>
      <xdr:row>36</xdr:row>
      <xdr:rowOff>2382</xdr:rowOff>
    </xdr:to>
    <xdr:sp macro="" textlink="C̳álculos!D39">
      <xdr:nvSpPr>
        <xdr:cNvPr id="9" name="CaixaDeTexto 8">
          <a:extLst>
            <a:ext uri="{FF2B5EF4-FFF2-40B4-BE49-F238E27FC236}">
              <a16:creationId xmlns:a16="http://schemas.microsoft.com/office/drawing/2014/main" id="{27220228-82F4-C41D-9F58-2996E28D0DC3}"/>
            </a:ext>
          </a:extLst>
        </xdr:cNvPr>
        <xdr:cNvSpPr txBox="1"/>
      </xdr:nvSpPr>
      <xdr:spPr>
        <a:xfrm>
          <a:off x="5210175" y="6562725"/>
          <a:ext cx="4743450" cy="297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127DCF50-117F-4E26-8C5F-CCE0F20EE4B0}" type="TxLink">
            <a:rPr lang="en-US" sz="1000" b="0" i="1" u="none" strike="noStrike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r"/>
            <a:t>Período do cálculo: 01/01/24 até 16/12/24 | Data da atualização: 16/12/24</a:t>
          </a:fld>
          <a:endParaRPr lang="pt-BR" sz="1000" i="1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228599</xdr:colOff>
      <xdr:row>6</xdr:row>
      <xdr:rowOff>114300</xdr:rowOff>
    </xdr:from>
    <xdr:to>
      <xdr:col>17</xdr:col>
      <xdr:colOff>170999</xdr:colOff>
      <xdr:row>13</xdr:row>
      <xdr:rowOff>142875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85BE425E-A0A1-48DD-A538-B9C97A76ABF9}"/>
            </a:ext>
          </a:extLst>
        </xdr:cNvPr>
        <xdr:cNvGrpSpPr/>
      </xdr:nvGrpSpPr>
      <xdr:grpSpPr>
        <a:xfrm>
          <a:off x="6267449" y="1257300"/>
          <a:ext cx="3600000" cy="1362075"/>
          <a:chOff x="2428874" y="1257300"/>
          <a:chExt cx="3600000" cy="136207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C397799B-59B7-1045-8F61-B34FAFD0C859}"/>
              </a:ext>
            </a:extLst>
          </xdr:cNvPr>
          <xdr:cNvSpPr/>
        </xdr:nvSpPr>
        <xdr:spPr>
          <a:xfrm>
            <a:off x="2428874" y="1266825"/>
            <a:ext cx="3600000" cy="1352550"/>
          </a:xfrm>
          <a:prstGeom prst="roundRect">
            <a:avLst>
              <a:gd name="adj" fmla="val 61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DE2C7EA3-6A7E-38A7-CAEE-1A8FB5F56283}"/>
              </a:ext>
            </a:extLst>
          </xdr:cNvPr>
          <xdr:cNvSpPr/>
        </xdr:nvSpPr>
        <xdr:spPr>
          <a:xfrm>
            <a:off x="2428874" y="1257300"/>
            <a:ext cx="3600000" cy="4286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SUBSCRIPTIONS MINECRAFT SEASON PASS</a:t>
            </a:r>
            <a:endParaRPr lang="pt-BR">
              <a:effectLst/>
            </a:endParaRPr>
          </a:p>
        </xdr:txBody>
      </xdr:sp>
    </xdr:grpSp>
    <xdr:clientData/>
  </xdr:twoCellAnchor>
  <xdr:twoCellAnchor>
    <xdr:from>
      <xdr:col>4</xdr:col>
      <xdr:colOff>485775</xdr:colOff>
      <xdr:row>14</xdr:row>
      <xdr:rowOff>180975</xdr:rowOff>
    </xdr:from>
    <xdr:to>
      <xdr:col>17</xdr:col>
      <xdr:colOff>191625</xdr:colOff>
      <xdr:row>34</xdr:row>
      <xdr:rowOff>28575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DDE36F7C-C2CB-48A6-FF84-0986BB9FA211}"/>
            </a:ext>
          </a:extLst>
        </xdr:cNvPr>
        <xdr:cNvGrpSpPr/>
      </xdr:nvGrpSpPr>
      <xdr:grpSpPr>
        <a:xfrm>
          <a:off x="2428875" y="2847975"/>
          <a:ext cx="7459200" cy="3657600"/>
          <a:chOff x="2428875" y="2847975"/>
          <a:chExt cx="7459200" cy="3657600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3E94A33A-D9CC-4F11-8234-680BCBF42C4D}"/>
              </a:ext>
            </a:extLst>
          </xdr:cNvPr>
          <xdr:cNvSpPr/>
        </xdr:nvSpPr>
        <xdr:spPr>
          <a:xfrm>
            <a:off x="2428875" y="2847975"/>
            <a:ext cx="7458076" cy="3657600"/>
          </a:xfrm>
          <a:prstGeom prst="roundRect">
            <a:avLst>
              <a:gd name="adj" fmla="val 245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754C44C0-03D5-4E19-8A42-489C8C8BC2FD}"/>
              </a:ext>
            </a:extLst>
          </xdr:cNvPr>
          <xdr:cNvSpPr/>
        </xdr:nvSpPr>
        <xdr:spPr>
          <a:xfrm>
            <a:off x="2428875" y="2847975"/>
            <a:ext cx="7459200" cy="4286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0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>
    <xdr:from>
      <xdr:col>5</xdr:col>
      <xdr:colOff>152400</xdr:colOff>
      <xdr:row>18</xdr:row>
      <xdr:rowOff>95250</xdr:rowOff>
    </xdr:from>
    <xdr:to>
      <xdr:col>16</xdr:col>
      <xdr:colOff>419100</xdr:colOff>
      <xdr:row>32</xdr:row>
      <xdr:rowOff>171450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54F79D32-E28E-4614-87F4-6979A8895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47625</xdr:colOff>
      <xdr:row>7</xdr:row>
      <xdr:rowOff>85725</xdr:rowOff>
    </xdr:from>
    <xdr:to>
      <xdr:col>3</xdr:col>
      <xdr:colOff>542925</xdr:colOff>
      <xdr:row>21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Subscription Type">
              <a:extLst>
                <a:ext uri="{FF2B5EF4-FFF2-40B4-BE49-F238E27FC236}">
                  <a16:creationId xmlns:a16="http://schemas.microsoft.com/office/drawing/2014/main" id="{DBEBAC3A-39AB-DBCF-5075-54E6C01132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4192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485774</xdr:colOff>
      <xdr:row>6</xdr:row>
      <xdr:rowOff>114300</xdr:rowOff>
    </xdr:from>
    <xdr:to>
      <xdr:col>10</xdr:col>
      <xdr:colOff>428174</xdr:colOff>
      <xdr:row>13</xdr:row>
      <xdr:rowOff>142875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31F2CAE1-684A-06C5-B32C-F2C26BFD74FC}"/>
            </a:ext>
          </a:extLst>
        </xdr:cNvPr>
        <xdr:cNvGrpSpPr/>
      </xdr:nvGrpSpPr>
      <xdr:grpSpPr>
        <a:xfrm>
          <a:off x="2428874" y="1257300"/>
          <a:ext cx="3600000" cy="1362075"/>
          <a:chOff x="2428874" y="1257300"/>
          <a:chExt cx="3600000" cy="1362075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80EBEC00-0EA9-0FDD-619D-2BD517D02E61}"/>
              </a:ext>
            </a:extLst>
          </xdr:cNvPr>
          <xdr:cNvGrpSpPr/>
        </xdr:nvGrpSpPr>
        <xdr:grpSpPr>
          <a:xfrm>
            <a:off x="2428874" y="1257300"/>
            <a:ext cx="3600000" cy="1362075"/>
            <a:chOff x="2428874" y="1257300"/>
            <a:chExt cx="3600000" cy="1362075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8CC774FE-A0CC-67C6-1854-79BE4F9D46CD}"/>
                </a:ext>
              </a:extLst>
            </xdr:cNvPr>
            <xdr:cNvSpPr/>
          </xdr:nvSpPr>
          <xdr:spPr>
            <a:xfrm>
              <a:off x="2428874" y="1266825"/>
              <a:ext cx="3600000" cy="1352550"/>
            </a:xfrm>
            <a:prstGeom prst="roundRect">
              <a:avLst>
                <a:gd name="adj" fmla="val 610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2" name="Retângulo: Cantos Superiores Arredondados 11">
              <a:extLst>
                <a:ext uri="{FF2B5EF4-FFF2-40B4-BE49-F238E27FC236}">
                  <a16:creationId xmlns:a16="http://schemas.microsoft.com/office/drawing/2014/main" id="{DE563AC0-D675-B4A6-3AF6-9313FBFD5D9D}"/>
                </a:ext>
              </a:extLst>
            </xdr:cNvPr>
            <xdr:cNvSpPr/>
          </xdr:nvSpPr>
          <xdr:spPr>
            <a:xfrm>
              <a:off x="2428874" y="1257300"/>
              <a:ext cx="3600000" cy="42862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50" b="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PLAY SEASON PASS</a:t>
              </a:r>
            </a:p>
          </xdr:txBody>
        </xdr:sp>
      </xdr:grpSp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7C12ABD6-89AC-4295-96F8-4BFF9C3727C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8907" b="28906"/>
          <a:stretch>
            <a:fillRect/>
          </a:stretch>
        </xdr:blipFill>
        <xdr:spPr>
          <a:xfrm>
            <a:off x="2657475" y="1885950"/>
            <a:ext cx="1219200" cy="514350"/>
          </a:xfrm>
          <a:prstGeom prst="rect">
            <a:avLst/>
          </a:prstGeom>
        </xdr:spPr>
      </xdr:pic>
      <xdr:sp macro="" textlink="C̳álculos!E24">
        <xdr:nvSpPr>
          <xdr:cNvPr id="22" name="CaixaDeTexto 21">
            <a:extLst>
              <a:ext uri="{FF2B5EF4-FFF2-40B4-BE49-F238E27FC236}">
                <a16:creationId xmlns:a16="http://schemas.microsoft.com/office/drawing/2014/main" id="{3DDCFEC9-EE61-32BA-F392-97213C844687}"/>
              </a:ext>
            </a:extLst>
          </xdr:cNvPr>
          <xdr:cNvSpPr txBox="1"/>
        </xdr:nvSpPr>
        <xdr:spPr>
          <a:xfrm>
            <a:off x="4019550" y="1933575"/>
            <a:ext cx="179070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47F7883-10D7-46F0-A5CF-CD539AFF3A71}" type="TxLink">
              <a:rPr lang="en-US" sz="2000" b="0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R$ 2.940,00 </a:t>
            </a:fld>
            <a:endParaRPr lang="pt-BR" sz="20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581025</xdr:colOff>
      <xdr:row>9</xdr:row>
      <xdr:rowOff>171450</xdr:rowOff>
    </xdr:from>
    <xdr:to>
      <xdr:col>16</xdr:col>
      <xdr:colOff>542924</xdr:colOff>
      <xdr:row>12</xdr:row>
      <xdr:rowOff>114300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98C4E25A-72B8-6B9A-C383-01B372FC30F2}"/>
            </a:ext>
          </a:extLst>
        </xdr:cNvPr>
        <xdr:cNvGrpSpPr/>
      </xdr:nvGrpSpPr>
      <xdr:grpSpPr>
        <a:xfrm>
          <a:off x="6619875" y="1885950"/>
          <a:ext cx="3009899" cy="514350"/>
          <a:chOff x="6619875" y="1885950"/>
          <a:chExt cx="3009899" cy="514350"/>
        </a:xfrm>
      </xdr:grpSpPr>
      <xdr:sp macro="" textlink="C̳álculos!E35">
        <xdr:nvSpPr>
          <xdr:cNvPr id="24" name="CaixaDeTexto 23">
            <a:extLst>
              <a:ext uri="{FF2B5EF4-FFF2-40B4-BE49-F238E27FC236}">
                <a16:creationId xmlns:a16="http://schemas.microsoft.com/office/drawing/2014/main" id="{6CA683AC-E47D-4224-873C-C17914E6E8A8}"/>
              </a:ext>
            </a:extLst>
          </xdr:cNvPr>
          <xdr:cNvSpPr txBox="1"/>
        </xdr:nvSpPr>
        <xdr:spPr>
          <a:xfrm>
            <a:off x="7839074" y="1933575"/>
            <a:ext cx="1790700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D03AA4C-5BBB-4BBB-842D-BB69B86B0C75}" type="TxLink">
              <a:rPr lang="en-US" sz="2000" b="0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R$ 3.880,00 </a:t>
            </a:fld>
            <a:endParaRPr lang="pt-BR" sz="40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80B06C40-B404-4FB6-A15E-62263B7D77D5}"/>
              </a:ext>
            </a:extLst>
          </xdr:cNvPr>
          <xdr:cNvGrpSpPr/>
        </xdr:nvGrpSpPr>
        <xdr:grpSpPr>
          <a:xfrm>
            <a:off x="6619875" y="1885950"/>
            <a:ext cx="1059134" cy="514350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4D814FDD-3A46-83D3-989B-6998DDFE8AF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772568A-F394-1788-D3F8-A3EB1FED6C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Laudiano" refreshedDate="46067.614362962966" createdVersion="8" refreshedVersion="8" minRefreshableVersion="3" recordCount="295" xr:uid="{18DA57EA-9A67-4F6A-8F9E-B3FDBE4E385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313815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AB73C-C740-4475-A56C-B5E8A04437FA}" name="Tabela dinâ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42:B43" firstHeaderRow="1" firstDataRow="1" firstDataCol="0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dataField="1"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Items count="1">
    <i/>
  </rowItems>
  <colItems count="1">
    <i/>
  </colItems>
  <dataFields count="1">
    <dataField name="Máx. de Start Date" fld="3" subtotal="max" baseField="0" baseItem="0" numFmtId="14"/>
  </dataFields>
  <formats count="3">
    <format dxfId="3">
      <pivotArea type="all" dataOnly="0" outline="0" fieldPosition="0"/>
    </format>
    <format dxfId="4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5FF85-F2F1-43FE-84FF-020B74532E20}" name="Tabela dinâ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39:B40" firstHeaderRow="1" firstDataRow="1" firstDataCol="0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dataField="1"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Items count="1">
    <i/>
  </rowItems>
  <colItems count="1">
    <i/>
  </colItems>
  <dataFields count="1">
    <dataField name="Mín. de Start Date" fld="3" subtotal="min" baseField="0" baseItem="0" numFmtId="14"/>
  </dataFields>
  <formats count="3"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outline="0" axis="axisValues" fieldPosition="0"/>
    </format>
  </formats>
  <pivotTableStyleInfo name="PivotStyleLight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60E04-FF87-40BB-8ED0-EFECA050086A}" name="Tabela dinâ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31:C3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83BF3-61E8-4BBB-90E7-0F57BA2ABC29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20:C2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A6085-3587-45A1-B7C7-2124D4A6EAB6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1A5AD99-E2FB-41D5-8A36-D857B9BDFCBE}" sourceName="Subscription Type">
  <pivotTables>
    <pivotTable tabId="3" name="Tabela dinâmica1"/>
    <pivotTable tabId="3" name="Tabela dinâmica2"/>
    <pivotTable tabId="3" name="Tabela dinâmica3"/>
    <pivotTable tabId="3" name="Tabela dinâmica4"/>
    <pivotTable tabId="3" name="Tabela dinâmica5"/>
  </pivotTables>
  <data>
    <tabular pivotCacheId="631381548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8A167F4-AF69-4BC1-A9DE-7737459A9085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3">
  <autoFilter ref="A1:M296" xr:uid="{34E0E886-4200-4B36-97B3-63DB74FF40A0}"/>
  <tableColumns count="13">
    <tableColumn id="1" xr3:uid="{C4A90516-688A-46BF-9167-EA16C2A8A652}" name="Subscriber ID" dataDxfId="22"/>
    <tableColumn id="2" xr3:uid="{53DD39D0-2220-4121-9E9D-4EAA7E151C0F}" name="Name" dataDxfId="21"/>
    <tableColumn id="3" xr3:uid="{4F5FF271-4C57-4BE0-8F2C-F82C8551625C}" name="Plan" dataDxfId="20"/>
    <tableColumn id="4" xr3:uid="{8C17EB93-79B9-4E55-B8F7-BEB82F8253E9}" name="Start Date" dataDxfId="19"/>
    <tableColumn id="5" xr3:uid="{48CEDF9B-1689-482A-A828-5CCE7713264A}" name="Auto Renewal" dataDxfId="18"/>
    <tableColumn id="6" xr3:uid="{78B82374-9AA7-4E38-AE4F-78CDE6C83720}" name="Subscription Price" dataDxfId="17" dataCellStyle="Moeda"/>
    <tableColumn id="7" xr3:uid="{F2433F68-AF33-49D0-B1FB-19A396074EDE}" name="Subscription Type" dataDxfId="16"/>
    <tableColumn id="8" xr3:uid="{FD4D9C95-F6E5-4933-9068-A71FF7DF9343}" name="EA Play Season Pass" dataDxfId="15"/>
    <tableColumn id="13" xr3:uid="{978DD0D2-834E-4CE4-A39B-30976086932F}" name="EA Play Season Pass_x000a_Price" dataDxfId="14" dataCellStyle="Moeda"/>
    <tableColumn id="9" xr3:uid="{6E29F111-C395-4580-9DAD-3407D9E8B1A4}" name="Minecraft Season Pass" dataDxfId="13"/>
    <tableColumn id="10" xr3:uid="{EF544EAA-7F25-4FD5-A10E-8E62804DB9E3}" name="Minecraft Season Pass Price" dataDxfId="12" dataCellStyle="Moeda"/>
    <tableColumn id="11" xr3:uid="{7F6EB64A-1F07-4E48-9F0F-AC7D9DCD26F8}" name="Coupon Value" dataDxfId="11" dataCellStyle="Moeda"/>
    <tableColumn id="12" xr3:uid="{2B04ABC8-DE6F-426E-ADC0-D8AFC68CA58E}" name="Total Value" dataDxfId="1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T7" sqref="T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77" zoomScale="90" zoomScaleNormal="90" workbookViewId="0">
      <selection activeCell="T7" sqref="T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0" bestFit="1" customWidth="1"/>
    <col min="4" max="4" width="14.5703125" bestFit="1" customWidth="1"/>
    <col min="5" max="5" width="18" bestFit="1" customWidth="1"/>
    <col min="6" max="6" width="17" bestFit="1" customWidth="1"/>
    <col min="7" max="7" width="22" bestFit="1" customWidth="1"/>
    <col min="8" max="9" width="23.85546875" bestFit="1" customWidth="1"/>
    <col min="10" max="10" width="21.28515625" bestFit="1" customWidth="1"/>
    <col min="11" max="11" width="25.5703125" bestFit="1" customWidth="1"/>
    <col min="12" max="12" width="13" bestFit="1" customWidth="1"/>
    <col min="13" max="13" width="15.710937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43"/>
  <sheetViews>
    <sheetView showGridLines="0" topLeftCell="A22" workbookViewId="0">
      <selection activeCell="T7" sqref="T7"/>
    </sheetView>
  </sheetViews>
  <sheetFormatPr defaultRowHeight="15" x14ac:dyDescent="0.25"/>
  <cols>
    <col min="1" max="1" width="1.7109375" customWidth="1"/>
    <col min="2" max="2" width="18.42578125" bestFit="1" customWidth="1"/>
    <col min="3" max="3" width="19.28515625" bestFit="1" customWidth="1"/>
    <col min="4" max="4" width="15.5703125" bestFit="1" customWidth="1"/>
    <col min="5" max="5" width="12.140625" bestFit="1" customWidth="1"/>
  </cols>
  <sheetData>
    <row r="2" spans="2:6" x14ac:dyDescent="0.25">
      <c r="B2" s="15" t="s">
        <v>313</v>
      </c>
      <c r="C2" s="14"/>
      <c r="D2" s="14"/>
      <c r="E2" s="14"/>
      <c r="F2" s="14"/>
    </row>
    <row r="4" spans="2:6" x14ac:dyDescent="0.25">
      <c r="B4" t="s">
        <v>314</v>
      </c>
    </row>
    <row r="5" spans="2:6" x14ac:dyDescent="0.25">
      <c r="B5" t="s">
        <v>315</v>
      </c>
    </row>
    <row r="8" spans="2:6" x14ac:dyDescent="0.25">
      <c r="B8" s="16" t="s">
        <v>16</v>
      </c>
      <c r="C8" t="s">
        <v>318</v>
      </c>
    </row>
    <row r="10" spans="2:6" x14ac:dyDescent="0.25">
      <c r="B10" s="16" t="s">
        <v>316</v>
      </c>
      <c r="C10" t="s">
        <v>319</v>
      </c>
    </row>
    <row r="11" spans="2:6" x14ac:dyDescent="0.25">
      <c r="B11" s="17" t="s">
        <v>23</v>
      </c>
      <c r="C11" s="18">
        <v>3847</v>
      </c>
    </row>
    <row r="12" spans="2:6" x14ac:dyDescent="0.25">
      <c r="B12" s="17" t="s">
        <v>19</v>
      </c>
      <c r="C12" s="18">
        <v>3786</v>
      </c>
    </row>
    <row r="13" spans="2:6" x14ac:dyDescent="0.25">
      <c r="B13" s="17" t="s">
        <v>317</v>
      </c>
      <c r="C13" s="18">
        <v>7633</v>
      </c>
    </row>
    <row r="16" spans="2:6" x14ac:dyDescent="0.25">
      <c r="B16" s="17" t="s">
        <v>320</v>
      </c>
    </row>
    <row r="18" spans="2:5" x14ac:dyDescent="0.25">
      <c r="B18" s="16" t="s">
        <v>16</v>
      </c>
      <c r="C18" t="s">
        <v>318</v>
      </c>
    </row>
    <row r="20" spans="2:5" x14ac:dyDescent="0.25">
      <c r="B20" s="16" t="s">
        <v>316</v>
      </c>
      <c r="C20" t="s">
        <v>321</v>
      </c>
    </row>
    <row r="21" spans="2:5" x14ac:dyDescent="0.25">
      <c r="B21" s="17" t="s">
        <v>22</v>
      </c>
      <c r="C21" s="20">
        <v>0</v>
      </c>
    </row>
    <row r="22" spans="2:5" x14ac:dyDescent="0.25">
      <c r="B22" s="17" t="s">
        <v>26</v>
      </c>
      <c r="C22" s="20">
        <v>0</v>
      </c>
    </row>
    <row r="23" spans="2:5" x14ac:dyDescent="0.25">
      <c r="B23" s="17" t="s">
        <v>18</v>
      </c>
      <c r="C23" s="20">
        <v>2940</v>
      </c>
    </row>
    <row r="24" spans="2:5" x14ac:dyDescent="0.25">
      <c r="B24" s="17" t="s">
        <v>317</v>
      </c>
      <c r="C24" s="20">
        <v>2940</v>
      </c>
      <c r="E24" s="19">
        <f>GETPIVOTDATA("EA Play Season Pass
Price",$B$20)</f>
        <v>2940</v>
      </c>
    </row>
    <row r="27" spans="2:5" x14ac:dyDescent="0.25">
      <c r="B27" s="17" t="s">
        <v>322</v>
      </c>
    </row>
    <row r="29" spans="2:5" x14ac:dyDescent="0.25">
      <c r="B29" s="16" t="s">
        <v>16</v>
      </c>
      <c r="C29" t="s">
        <v>318</v>
      </c>
    </row>
    <row r="31" spans="2:5" x14ac:dyDescent="0.25">
      <c r="B31" s="16" t="s">
        <v>316</v>
      </c>
      <c r="C31" t="s">
        <v>323</v>
      </c>
    </row>
    <row r="32" spans="2:5" x14ac:dyDescent="0.25">
      <c r="B32" s="17" t="s">
        <v>22</v>
      </c>
      <c r="C32" s="18">
        <v>0</v>
      </c>
    </row>
    <row r="33" spans="2:5" x14ac:dyDescent="0.25">
      <c r="B33" s="17" t="s">
        <v>26</v>
      </c>
      <c r="C33" s="18">
        <v>1920</v>
      </c>
    </row>
    <row r="34" spans="2:5" x14ac:dyDescent="0.25">
      <c r="B34" s="17" t="s">
        <v>18</v>
      </c>
      <c r="C34" s="18">
        <v>1960</v>
      </c>
    </row>
    <row r="35" spans="2:5" x14ac:dyDescent="0.25">
      <c r="B35" s="17" t="s">
        <v>317</v>
      </c>
      <c r="C35" s="18">
        <v>3880</v>
      </c>
      <c r="E35" s="19">
        <f>GETPIVOTDATA("Minecraft Season Pass Price",$B$31)</f>
        <v>3880</v>
      </c>
    </row>
    <row r="39" spans="2:5" x14ac:dyDescent="0.25">
      <c r="B39" s="21" t="s">
        <v>324</v>
      </c>
      <c r="D39" t="str">
        <f>"Período do cálculo: "&amp;TEXT(GETPIVOTDATA("Start Date",$B$39),"dd/mm/aa")&amp;" até "&amp;TEXT(GETPIVOTDATA("Start Date",$B$42),"dd/mm/aa")&amp;" | "&amp;"Data da atualização: "&amp;TEXT(GETPIVOTDATA("Start Date",$B$42),"dd/mm/aa")</f>
        <v>Período do cálculo: 01/01/24 até 16/12/24 | Data da atualização: 16/12/24</v>
      </c>
    </row>
    <row r="40" spans="2:5" x14ac:dyDescent="0.25">
      <c r="B40" s="22">
        <v>45292</v>
      </c>
    </row>
    <row r="42" spans="2:5" x14ac:dyDescent="0.25">
      <c r="B42" s="21" t="s">
        <v>325</v>
      </c>
    </row>
    <row r="43" spans="2:5" x14ac:dyDescent="0.25">
      <c r="B43" s="22">
        <v>45642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5"/>
  <sheetViews>
    <sheetView showGridLines="0" showRowColHeaders="0" tabSelected="1" zoomScaleNormal="100" workbookViewId="0">
      <selection activeCell="C32" sqref="C32"/>
    </sheetView>
  </sheetViews>
  <sheetFormatPr defaultColWidth="0" defaultRowHeight="15" x14ac:dyDescent="0.25"/>
  <cols>
    <col min="1" max="1" width="1.7109375" style="4" customWidth="1"/>
    <col min="2" max="4" width="9.140625" style="4" customWidth="1"/>
    <col min="5" max="5" width="9.140625" style="12" customWidth="1"/>
    <col min="6" max="10" width="9.140625" style="7" customWidth="1"/>
    <col min="11" max="11" width="6.5703125" style="7" customWidth="1"/>
    <col min="12" max="18" width="9.140625" style="7" customWidth="1"/>
    <col min="19" max="19" width="1.7109375" style="7" customWidth="1"/>
    <col min="20" max="16384" width="9.140625" style="7" hidden="1"/>
  </cols>
  <sheetData>
    <row r="1" spans="1:5" customFormat="1" x14ac:dyDescent="0.25">
      <c r="A1" s="4"/>
      <c r="B1" s="4"/>
      <c r="C1" s="4"/>
      <c r="D1" s="4"/>
      <c r="E1" s="13"/>
    </row>
    <row r="2" spans="1:5" customFormat="1" x14ac:dyDescent="0.25">
      <c r="A2" s="4"/>
      <c r="B2" s="4"/>
      <c r="C2" s="4"/>
      <c r="D2" s="4"/>
      <c r="E2" s="13"/>
    </row>
    <row r="3" spans="1:5" customFormat="1" x14ac:dyDescent="0.25">
      <c r="A3" s="4"/>
      <c r="B3" s="4"/>
      <c r="C3" s="4"/>
      <c r="D3" s="4"/>
      <c r="E3" s="13"/>
    </row>
    <row r="4" spans="1:5" customFormat="1" x14ac:dyDescent="0.25">
      <c r="A4" s="4"/>
      <c r="B4" s="4"/>
      <c r="C4" s="4"/>
      <c r="D4" s="4"/>
      <c r="E4" s="13"/>
    </row>
    <row r="5" spans="1:5" customFormat="1" x14ac:dyDescent="0.25">
      <c r="A5" s="4"/>
      <c r="B5" s="4"/>
      <c r="C5" s="4"/>
      <c r="D5" s="4"/>
      <c r="E5" s="1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Alex Laudiano</cp:lastModifiedBy>
  <dcterms:created xsi:type="dcterms:W3CDTF">2024-12-19T13:13:10Z</dcterms:created>
  <dcterms:modified xsi:type="dcterms:W3CDTF">2026-02-14T22:01:00Z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